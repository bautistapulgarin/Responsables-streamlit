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rupomarval.sharepoint.com/sites/Lean-BIM/Documentos compartidos/LEAN/13. Cloud Data/2. Github/"/>
    </mc:Choice>
  </mc:AlternateContent>
  <xr:revisionPtr revIDLastSave="148" documentId="13_ncr:1_{E953BF11-6BC8-4872-B8EC-7C96E7F0B8C5}" xr6:coauthVersionLast="47" xr6:coauthVersionMax="47" xr10:uidLastSave="{B428B0CE-9DD4-49F6-96B1-3FFEF1D0DE2C}"/>
  <bookViews>
    <workbookView xWindow="28680" yWindow="705" windowWidth="29040" windowHeight="15720" xr2:uid="{BC01CE05-0E98-48BA-AFDF-DDA4B73FB32C}"/>
  </bookViews>
  <sheets>
    <sheet name="Directori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</calcChain>
</file>

<file path=xl/sharedStrings.xml><?xml version="1.0" encoding="utf-8"?>
<sst xmlns="http://schemas.openxmlformats.org/spreadsheetml/2006/main" count="147" uniqueCount="98">
  <si>
    <t>ID</t>
  </si>
  <si>
    <t>ID_Padre</t>
  </si>
  <si>
    <t>Nivel</t>
  </si>
  <si>
    <t>Nombre</t>
  </si>
  <si>
    <t>Tipo</t>
  </si>
  <si>
    <t>Descripción</t>
  </si>
  <si>
    <t>URL</t>
  </si>
  <si>
    <t>Orden</t>
  </si>
  <si>
    <t>1.</t>
  </si>
  <si>
    <t>Metodología</t>
  </si>
  <si>
    <t>Carpeta</t>
  </si>
  <si>
    <t>1.1.</t>
  </si>
  <si>
    <t>Capacitaciones</t>
  </si>
  <si>
    <t>1.1.1.</t>
  </si>
  <si>
    <t>Socialización Gerencia</t>
  </si>
  <si>
    <t>1.1.1.1.</t>
  </si>
  <si>
    <t>Presentación socialización mejoras Gerencia</t>
  </si>
  <si>
    <t>Pptx</t>
  </si>
  <si>
    <t>Propuesta de mejoras resultado de reuniones con gerencia y directores técnicos</t>
  </si>
  <si>
    <t>https://grupomarval-my.sharepoint.com/personal/cpulgarin_marval_com_co/Documents/Datos%20adjuntos/PropuestaMejoraIngenieria.pptx?web=1</t>
  </si>
  <si>
    <t>1.1.2.</t>
  </si>
  <si>
    <t>Implementación Last Planner</t>
  </si>
  <si>
    <t>1.1.2.1</t>
  </si>
  <si>
    <t>Presentación implementación métodologia Last Planner System</t>
  </si>
  <si>
    <t>Presentación implementación Last Planner System</t>
  </si>
  <si>
    <t>https://grupomarval.sharepoint.com/sites/Lean-BIM/Documentos%20compartidos/LEAN/05.%20Seguimiento%20proyectos/04.%20Acompa%C3%B1amiento%20a%20proyectos/Presentaci%C3%B3n%20capacitaciones.pptx?web=1</t>
  </si>
  <si>
    <t>1.1.3.</t>
  </si>
  <si>
    <t>Implementación Grilla LP</t>
  </si>
  <si>
    <t>1.1.3.1.</t>
  </si>
  <si>
    <t>Presentación implementación funcionalidad grilla Last Planner System</t>
  </si>
  <si>
    <t>Socialización e implementación de avances por grilla</t>
  </si>
  <si>
    <t>https://grupomarval.sharepoint.com/sites/Lean-BIM/Documentos%20compartidos/LEAN/03.%20Desarrollos/01.%20Analytics%202.0/08.%20Presentaciones/09.%20Activaci%C3%B3n%20Grilla.pptx?web=1</t>
  </si>
  <si>
    <t>1.2.</t>
  </si>
  <si>
    <t>Manuales</t>
  </si>
  <si>
    <t>1.3.</t>
  </si>
  <si>
    <t>Infografías</t>
  </si>
  <si>
    <t>2.</t>
  </si>
  <si>
    <t>Seguimiento Y Control</t>
  </si>
  <si>
    <t>2.1.</t>
  </si>
  <si>
    <t>Planeación Lean</t>
  </si>
  <si>
    <t>2.2.</t>
  </si>
  <si>
    <t>Auditoria</t>
  </si>
  <si>
    <t>2.2.1.</t>
  </si>
  <si>
    <t>Excel de informe de Auditoria</t>
  </si>
  <si>
    <t>Xlsx</t>
  </si>
  <si>
    <t>Archivo de registro de auditorias de seguimiento</t>
  </si>
  <si>
    <t>https://docs.google.com/spreadsheets/d/1PvlOcqy-B7uOcPeKvaGO18cssIEnb6UIXeNBRuVQpiE/edit?usp=sharing</t>
  </si>
  <si>
    <t>3.</t>
  </si>
  <si>
    <t>Desarrollo Software</t>
  </si>
  <si>
    <t>3.1.</t>
  </si>
  <si>
    <t>Tablero Seguimiento</t>
  </si>
  <si>
    <t>3.1.1.</t>
  </si>
  <si>
    <t>Código respaldo</t>
  </si>
  <si>
    <t>url</t>
  </si>
  <si>
    <t>Código respaldo de sitio de seguimiento</t>
  </si>
  <si>
    <t>https://grupomarval.sharepoint.com/:f:/r/sites/Lean-BIM/Documentos%20compartidos/LEAN/13.%20Cloud%20Data/3.%20Codigo%20Respaldo?csf=1&amp;web=1&amp;e=jQjk10</t>
  </si>
  <si>
    <t>3.1.2.</t>
  </si>
  <si>
    <t>Bigquery</t>
  </si>
  <si>
    <t>Modelo de datos: restricciones, compromisos y responsables ( se hace necesario tables: compromisos, proyectos, responsables, restricciones, de carpeta de Modelo BigQuery GC)</t>
  </si>
  <si>
    <t>https://console.cloud.google.com/bigquery?project=modelomarval&amp;ws=!1m17!1m6!12m5!1m3!1smodelomarval!2sus-central1!3sd30be79c-ad20-41eb-8952-d95e9152ecc9!2e1!1m4!4m3!1smodelomarval!2sproyectos!3sproyectos!1m4!1m3!1smodelomarval!2sbquxjob_4c0ba819_19b09adb8ee!3sus-east1</t>
  </si>
  <si>
    <t>3.1.2</t>
  </si>
  <si>
    <t>GitHub Access</t>
  </si>
  <si>
    <t>APP.py, data y requeriments</t>
  </si>
  <si>
    <t>https://github.com/bautistapulgarin/Responsables-streamlit/tree/main</t>
  </si>
  <si>
    <t>4.</t>
  </si>
  <si>
    <t>Entregas y trámite</t>
  </si>
  <si>
    <t>4.1.</t>
  </si>
  <si>
    <t>Enlace Zoho - Avance de entregas</t>
  </si>
  <si>
    <t xml:space="preserve">url </t>
  </si>
  <si>
    <t>Enlace Zoho permalink  "Avance de entregas"</t>
  </si>
  <si>
    <t>https://analytics.zoho.com/open-view/2403793000018042241/72f498ac7974ce7ef70f46e19c1b4a33</t>
  </si>
  <si>
    <t>5.</t>
  </si>
  <si>
    <t>Analitica</t>
  </si>
  <si>
    <t>5.1.</t>
  </si>
  <si>
    <t>Limpieza</t>
  </si>
  <si>
    <t>https://colab.research.google.com/drive/1hh8VbYpxsLAxDkjfKF0hKWw8zxOlNrOC?usp=sharing</t>
  </si>
  <si>
    <t>5.1.1.</t>
  </si>
  <si>
    <t>5.2.</t>
  </si>
  <si>
    <t>Programaciones por capitulo</t>
  </si>
  <si>
    <t>https://colab.research.google.com/drive/1XhnifKohqfhBAwTACpzS7d6D4qcx_sl0#scrollTo=3ZOFGD83yd0f</t>
  </si>
  <si>
    <t>Finalizado: Colab de vetificación de incidencia en cierre de capitulos de workplanner ( se revisar por programación, se puede ampliar a bodega de tiempos)</t>
  </si>
  <si>
    <t>En proceso: Colab limpieza de Bodega de tiempos con cargue desde local de la carpeta de ETL y integración con nombres de proyectos</t>
  </si>
  <si>
    <t>Modelo de Datos</t>
  </si>
  <si>
    <t>Se plantea modelo de datos bajo trabajo en Bigquery y Colab</t>
  </si>
  <si>
    <t>5.2.1.</t>
  </si>
  <si>
    <t>Modelo Bigquery</t>
  </si>
  <si>
    <t>Relacionamiento de dataset con SQL</t>
  </si>
  <si>
    <t>https://console.cloud.google.com/bigquery?project=modelomarval&amp;ws=!1m4!1m3!3m2!1smodelomarval!2sproyectos</t>
  </si>
  <si>
    <t>Recurso: Bodega de tiempos</t>
  </si>
  <si>
    <t>archivo</t>
  </si>
  <si>
    <t>historico de bodega de tiempos para limpieza</t>
  </si>
  <si>
    <t>https://grupomarval.sharepoint.com/:f:/r/sites/Lean-BIM/Documentos%20compartidos/LEAN/13.%20Cloud%20Data/0.%20ETL%20Colab/13.0.1.%20Historico%20Bodegas%20de%20tiempo?csf=1&amp;web=1&amp;e=y0SGaf</t>
  </si>
  <si>
    <t>5.1.1.1.</t>
  </si>
  <si>
    <t>Bodega de tiempos</t>
  </si>
  <si>
    <t>Proceso: Bodega de Tiempos</t>
  </si>
  <si>
    <t>Informes</t>
  </si>
  <si>
    <t>5.3.</t>
  </si>
  <si>
    <t>5.3.1.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</si>
</sst>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0" fontId="1" fillId="2" borderId="0" xfId="1" applyFill="1" applyAlignment="1">
      <alignment horizontal="center"/>
    </xf>
  </cellXfs>
  <cellStyles count="2">
    <cellStyle name="Hipervínculo" xfId="1" builtinId="8"/>
    <cellStyle name="Normal" xfId="0" builtinId="0"/>
  </cellStyles>
  <dxfs count="9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09339A2-539F-4FE1-97EE-FD1584881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B9EC1-A843-494C-8CE9-F9A09CA3921B}" name="Tabla13" displayName="Tabla13" ref="A1:H31" totalsRowShown="0" dataDxfId="8">
  <autoFilter ref="A1:H31" xr:uid="{4DBE90D6-0208-4159-B479-17B20016F364}"/>
  <tableColumns count="8">
    <tableColumn id="1" xr3:uid="{09591468-9C45-4B9E-A699-8D7D5DE3C0D4}" name="ID" dataDxfId="7"/>
    <tableColumn id="2" xr3:uid="{F1BFFF13-B24C-4D9F-889F-187D5656338D}" name="ID_Padre" dataDxfId="6"/>
    <tableColumn id="3" xr3:uid="{722643D8-F513-4DB6-99AE-BC94CABC10C1}" name="Nivel" dataDxfId="5"/>
    <tableColumn id="4" xr3:uid="{9FE9839B-A5E3-4305-ACDF-1E926D2D47FE}" name="Nombre" dataDxfId="4"/>
    <tableColumn id="5" xr3:uid="{BB928926-B707-49F7-A299-89AD4E07A909}" name="Tipo" dataDxfId="3"/>
    <tableColumn id="6" xr3:uid="{CE75D535-1249-4EA9-A468-EC843F7BFDE8}" name="Descripción" dataDxfId="2"/>
    <tableColumn id="7" xr3:uid="{14DBF9A0-5327-412E-9628-27ED981EEF55}" name="URL" dataDxfId="1"/>
    <tableColumn id="8" xr3:uid="{4B601995-47BD-4762-86CF-6D5BD412EFAC}" name="Ord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alytics.zoho.com/open-view/2403793000018042241/72f498ac7974ce7ef70f46e19c1b4a3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../../05.%20Seguimiento%20proyectos/04.%20Acompa%C3%B1amiento%20a%20proyectos/Presentaci%C3%B3n%20capacitaciones.pptx?web=1" TargetMode="External"/><Relationship Id="rId7" Type="http://schemas.openxmlformats.org/officeDocument/2006/relationships/hyperlink" Target="https://github.com/bautistapulgarin/Responsables-streamlit/tree/main" TargetMode="External"/><Relationship Id="rId12" Type="http://schemas.openxmlformats.org/officeDocument/2006/relationships/hyperlink" Target="https://colab.research.google.com/drive/1XhnifKohqfhBAwTACpzS7d6D4qcx_sl0" TargetMode="External"/><Relationship Id="rId2" Type="http://schemas.openxmlformats.org/officeDocument/2006/relationships/hyperlink" Target="../../03.%20Desarrollos/01.%20Analytics%202.0/08.%20Presentaciones/09.%20Activaci%C3%B3n%20Grilla.pptx?web=1" TargetMode="External"/><Relationship Id="rId1" Type="http://schemas.openxmlformats.org/officeDocument/2006/relationships/hyperlink" Target="https://grupomarval-my.sharepoint.com/personal/cpulgarin_marval_com_co/Documents/Datos%20adjuntos/PropuestaMejoraIngenieria.pptx?web=1" TargetMode="External"/><Relationship Id="rId6" Type="http://schemas.openxmlformats.org/officeDocument/2006/relationships/hyperlink" Target="https://console.cloud.google.com/bigquery?project=modelomarval&amp;ws=!1m17!1m6!12m5!1m3!1smodelomarval!2sus-central1!3sd30be79c-ad20-41eb-8952-d95e9152ecc9!2e1!1m4!4m3!1smodelomarval!2sproyectos!3sproyectos!1m4!1m3!1smodelomarval!2sbquxjob_4c0ba819_19b09adb8ee!3sus-east1" TargetMode="External"/><Relationship Id="rId11" Type="http://schemas.openxmlformats.org/officeDocument/2006/relationships/hyperlink" Target="../../../../../../:f:/r/sites/Lean-BIM/Documentos%20compartidos/LEAN/13.%20Cloud%20Data/0.%20ETL%20Colab/13.0.1.%20Historico%20Bodegas%20de%20tiempo?csf=1&amp;web=1&amp;e=y0SGaf" TargetMode="External"/><Relationship Id="rId5" Type="http://schemas.openxmlformats.org/officeDocument/2006/relationships/hyperlink" Target="../../../../../../:f:/r/sites/Lean-BIM/Documentos%20compartidos/LEAN/13.%20Cloud%20Data/3.%20Codigo%20Respaldo?csf=1&amp;web=1&amp;e=jQjk10" TargetMode="External"/><Relationship Id="rId10" Type="http://schemas.openxmlformats.org/officeDocument/2006/relationships/hyperlink" Target="https://console.cloud.google.com/bigquery?project=modelomarval&amp;ws=!1m4!1m3!3m2!1smodelomarval!2sproyectos" TargetMode="External"/><Relationship Id="rId4" Type="http://schemas.openxmlformats.org/officeDocument/2006/relationships/hyperlink" Target="https://docs.google.com/spreadsheets/d/1PvlOcqy-B7uOcPeKvaGO18cssIEnb6UIXeNBRuVQpiE/edit?usp=sharing" TargetMode="External"/><Relationship Id="rId9" Type="http://schemas.openxmlformats.org/officeDocument/2006/relationships/hyperlink" Target="https://colab.research.google.com/drive/1hh8VbYpxsLAxDkjfKF0hKWw8zxOlNrOC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A87A-0F01-4FBC-8483-64ED0DE34BC3}">
  <dimension ref="A1:H31"/>
  <sheetViews>
    <sheetView tabSelected="1" workbookViewId="0">
      <selection activeCell="D13" sqref="D13"/>
    </sheetView>
  </sheetViews>
  <sheetFormatPr baseColWidth="10" defaultColWidth="11.44140625" defaultRowHeight="14.4" x14ac:dyDescent="0.3"/>
  <cols>
    <col min="3" max="3" width="7.5546875" bestFit="1" customWidth="1"/>
    <col min="4" max="4" width="52.44140625" bestFit="1" customWidth="1"/>
    <col min="6" max="6" width="155" bestFit="1" customWidth="1"/>
    <col min="7" max="7" width="254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/>
      <c r="C2" s="1">
        <v>1</v>
      </c>
      <c r="D2" s="1" t="s">
        <v>9</v>
      </c>
      <c r="E2" s="1" t="s">
        <v>10</v>
      </c>
      <c r="F2" s="1"/>
      <c r="G2" s="1"/>
      <c r="H2" s="1"/>
    </row>
    <row r="3" spans="1:8" x14ac:dyDescent="0.3">
      <c r="A3" s="1" t="s">
        <v>11</v>
      </c>
      <c r="B3" s="1" t="s">
        <v>8</v>
      </c>
      <c r="C3" s="1">
        <v>2</v>
      </c>
      <c r="D3" s="1" t="s">
        <v>12</v>
      </c>
      <c r="E3" s="1" t="s">
        <v>10</v>
      </c>
      <c r="F3" s="1"/>
      <c r="G3" s="1"/>
      <c r="H3" s="1"/>
    </row>
    <row r="4" spans="1:8" x14ac:dyDescent="0.3">
      <c r="A4" s="1" t="s">
        <v>13</v>
      </c>
      <c r="B4" s="1" t="s">
        <v>11</v>
      </c>
      <c r="C4" s="1">
        <v>3</v>
      </c>
      <c r="D4" s="1" t="s">
        <v>14</v>
      </c>
      <c r="E4" s="1" t="s">
        <v>10</v>
      </c>
      <c r="F4" s="1"/>
      <c r="G4" s="1"/>
      <c r="H4" s="1"/>
    </row>
    <row r="5" spans="1:8" x14ac:dyDescent="0.3">
      <c r="A5" s="1" t="s">
        <v>15</v>
      </c>
      <c r="B5" s="1" t="s">
        <v>13</v>
      </c>
      <c r="C5" s="1">
        <v>4</v>
      </c>
      <c r="D5" s="1" t="s">
        <v>16</v>
      </c>
      <c r="E5" s="1" t="s">
        <v>17</v>
      </c>
      <c r="F5" s="1" t="s">
        <v>18</v>
      </c>
      <c r="G5" s="2" t="s">
        <v>19</v>
      </c>
      <c r="H5" s="1"/>
    </row>
    <row r="6" spans="1:8" x14ac:dyDescent="0.3">
      <c r="A6" s="1" t="s">
        <v>20</v>
      </c>
      <c r="B6" s="1" t="s">
        <v>11</v>
      </c>
      <c r="C6" s="1">
        <v>3</v>
      </c>
      <c r="D6" s="1" t="s">
        <v>21</v>
      </c>
      <c r="E6" s="1" t="s">
        <v>10</v>
      </c>
      <c r="F6" s="1"/>
      <c r="G6" s="1"/>
      <c r="H6" s="1"/>
    </row>
    <row r="7" spans="1:8" x14ac:dyDescent="0.3">
      <c r="A7" s="1" t="s">
        <v>22</v>
      </c>
      <c r="B7" s="1" t="s">
        <v>20</v>
      </c>
      <c r="C7" s="1">
        <v>4</v>
      </c>
      <c r="D7" s="1" t="s">
        <v>23</v>
      </c>
      <c r="E7" s="1" t="s">
        <v>17</v>
      </c>
      <c r="F7" s="1" t="s">
        <v>24</v>
      </c>
      <c r="G7" s="2" t="s">
        <v>25</v>
      </c>
      <c r="H7" s="1"/>
    </row>
    <row r="8" spans="1:8" x14ac:dyDescent="0.3">
      <c r="A8" s="1" t="s">
        <v>26</v>
      </c>
      <c r="B8" s="1" t="s">
        <v>11</v>
      </c>
      <c r="C8" s="1">
        <v>3</v>
      </c>
      <c r="D8" s="1" t="s">
        <v>27</v>
      </c>
      <c r="E8" s="1" t="s">
        <v>10</v>
      </c>
      <c r="F8" s="1"/>
      <c r="G8" s="1"/>
      <c r="H8" s="1"/>
    </row>
    <row r="9" spans="1:8" x14ac:dyDescent="0.3">
      <c r="A9" s="1" t="s">
        <v>28</v>
      </c>
      <c r="B9" s="1" t="s">
        <v>26</v>
      </c>
      <c r="C9" s="1">
        <v>4</v>
      </c>
      <c r="D9" s="1" t="s">
        <v>29</v>
      </c>
      <c r="E9" s="1" t="s">
        <v>17</v>
      </c>
      <c r="F9" s="1" t="s">
        <v>30</v>
      </c>
      <c r="G9" s="2" t="s">
        <v>31</v>
      </c>
      <c r="H9" s="1"/>
    </row>
    <row r="10" spans="1:8" x14ac:dyDescent="0.3">
      <c r="A10" s="1" t="s">
        <v>32</v>
      </c>
      <c r="B10" s="1" t="s">
        <v>8</v>
      </c>
      <c r="C10" s="1">
        <v>2</v>
      </c>
      <c r="D10" s="1" t="s">
        <v>33</v>
      </c>
      <c r="E10" s="1" t="s">
        <v>10</v>
      </c>
      <c r="F10" s="1"/>
      <c r="G10" s="1"/>
      <c r="H10" s="1"/>
    </row>
    <row r="11" spans="1:8" x14ac:dyDescent="0.3">
      <c r="A11" s="1" t="s">
        <v>34</v>
      </c>
      <c r="B11" s="1" t="s">
        <v>8</v>
      </c>
      <c r="C11" s="1">
        <v>2</v>
      </c>
      <c r="D11" s="1" t="s">
        <v>35</v>
      </c>
      <c r="E11" s="1" t="s">
        <v>10</v>
      </c>
      <c r="F11" s="1"/>
      <c r="G11" s="1"/>
      <c r="H11" s="1"/>
    </row>
    <row r="12" spans="1:8" x14ac:dyDescent="0.3">
      <c r="A12" s="1" t="s">
        <v>36</v>
      </c>
      <c r="B12" s="1"/>
      <c r="C12" s="1">
        <v>1</v>
      </c>
      <c r="D12" s="1" t="s">
        <v>37</v>
      </c>
      <c r="E12" s="1" t="s">
        <v>10</v>
      </c>
      <c r="F12" s="1"/>
      <c r="G12" s="1"/>
      <c r="H12" s="1"/>
    </row>
    <row r="13" spans="1:8" x14ac:dyDescent="0.3">
      <c r="A13" s="1" t="s">
        <v>38</v>
      </c>
      <c r="B13" s="1" t="s">
        <v>36</v>
      </c>
      <c r="C13" s="1">
        <v>2</v>
      </c>
      <c r="D13" s="1" t="s">
        <v>39</v>
      </c>
      <c r="E13" s="1" t="s">
        <v>10</v>
      </c>
      <c r="F13" s="1"/>
      <c r="G13" s="1"/>
      <c r="H13" s="1"/>
    </row>
    <row r="14" spans="1:8" x14ac:dyDescent="0.3">
      <c r="A14" s="1" t="s">
        <v>40</v>
      </c>
      <c r="B14" s="1" t="s">
        <v>36</v>
      </c>
      <c r="C14" s="1">
        <v>2</v>
      </c>
      <c r="D14" s="1" t="s">
        <v>41</v>
      </c>
      <c r="E14" s="1" t="s">
        <v>10</v>
      </c>
      <c r="F14" s="1"/>
      <c r="G14" s="1"/>
      <c r="H14" s="1"/>
    </row>
    <row r="15" spans="1:8" x14ac:dyDescent="0.3">
      <c r="A15" s="1" t="s">
        <v>42</v>
      </c>
      <c r="B15" s="1" t="s">
        <v>40</v>
      </c>
      <c r="C15" s="1">
        <v>3</v>
      </c>
      <c r="D15" s="1" t="s">
        <v>43</v>
      </c>
      <c r="E15" s="1" t="s">
        <v>44</v>
      </c>
      <c r="F15" s="1" t="s">
        <v>45</v>
      </c>
      <c r="G15" s="2" t="s">
        <v>46</v>
      </c>
      <c r="H15" s="1"/>
    </row>
    <row r="16" spans="1:8" x14ac:dyDescent="0.3">
      <c r="A16" s="1" t="s">
        <v>47</v>
      </c>
      <c r="B16" s="1"/>
      <c r="C16" s="1">
        <v>1</v>
      </c>
      <c r="D16" s="1" t="s">
        <v>48</v>
      </c>
      <c r="E16" s="1" t="s">
        <v>10</v>
      </c>
      <c r="F16" s="1"/>
      <c r="G16" s="1"/>
      <c r="H16" s="1"/>
    </row>
    <row r="17" spans="1:8" x14ac:dyDescent="0.3">
      <c r="A17" s="1" t="s">
        <v>49</v>
      </c>
      <c r="B17" s="1" t="s">
        <v>47</v>
      </c>
      <c r="C17" s="1">
        <v>2</v>
      </c>
      <c r="D17" s="1" t="s">
        <v>50</v>
      </c>
      <c r="E17" s="1" t="s">
        <v>10</v>
      </c>
      <c r="F17" s="1"/>
      <c r="G17" s="1"/>
      <c r="H17" s="1"/>
    </row>
    <row r="18" spans="1:8" x14ac:dyDescent="0.3">
      <c r="A18" s="1" t="s">
        <v>51</v>
      </c>
      <c r="B18" s="1" t="s">
        <v>49</v>
      </c>
      <c r="C18" s="1">
        <v>3</v>
      </c>
      <c r="D18" s="1" t="s">
        <v>52</v>
      </c>
      <c r="E18" s="1" t="s">
        <v>53</v>
      </c>
      <c r="F18" s="1" t="s">
        <v>54</v>
      </c>
      <c r="G18" s="2" t="s">
        <v>55</v>
      </c>
      <c r="H18" s="1"/>
    </row>
    <row r="19" spans="1:8" x14ac:dyDescent="0.3">
      <c r="A19" s="1" t="s">
        <v>56</v>
      </c>
      <c r="B19" s="1" t="s">
        <v>49</v>
      </c>
      <c r="C19" s="1">
        <v>3</v>
      </c>
      <c r="D19" s="1" t="s">
        <v>57</v>
      </c>
      <c r="E19" s="1" t="s">
        <v>53</v>
      </c>
      <c r="F19" s="1" t="s">
        <v>58</v>
      </c>
      <c r="G19" s="2" t="s">
        <v>59</v>
      </c>
      <c r="H19" s="1"/>
    </row>
    <row r="20" spans="1:8" x14ac:dyDescent="0.3">
      <c r="A20" s="1" t="s">
        <v>60</v>
      </c>
      <c r="B20" s="1" t="s">
        <v>49</v>
      </c>
      <c r="C20" s="1">
        <v>3</v>
      </c>
      <c r="D20" s="1" t="s">
        <v>61</v>
      </c>
      <c r="E20" s="1" t="s">
        <v>53</v>
      </c>
      <c r="F20" s="1" t="s">
        <v>62</v>
      </c>
      <c r="G20" s="2" t="s">
        <v>63</v>
      </c>
      <c r="H20" s="1"/>
    </row>
    <row r="21" spans="1:8" x14ac:dyDescent="0.3">
      <c r="A21" s="1" t="s">
        <v>64</v>
      </c>
      <c r="B21" s="1"/>
      <c r="C21" s="1">
        <v>1</v>
      </c>
      <c r="D21" s="1" t="s">
        <v>65</v>
      </c>
      <c r="E21" s="1" t="s">
        <v>10</v>
      </c>
      <c r="F21" s="1"/>
      <c r="G21" s="1"/>
      <c r="H21" s="1"/>
    </row>
    <row r="22" spans="1:8" x14ac:dyDescent="0.3">
      <c r="A22" s="1" t="s">
        <v>66</v>
      </c>
      <c r="B22" s="1" t="s">
        <v>64</v>
      </c>
      <c r="C22" s="1">
        <v>2</v>
      </c>
      <c r="D22" s="1" t="s">
        <v>67</v>
      </c>
      <c r="E22" s="1" t="s">
        <v>68</v>
      </c>
      <c r="F22" s="1" t="s">
        <v>69</v>
      </c>
      <c r="G22" s="2" t="s">
        <v>70</v>
      </c>
      <c r="H22" s="1"/>
    </row>
    <row r="23" spans="1:8" x14ac:dyDescent="0.3">
      <c r="A23" s="1" t="s">
        <v>71</v>
      </c>
      <c r="B23" s="1"/>
      <c r="C23" s="1">
        <v>1</v>
      </c>
      <c r="D23" s="1" t="s">
        <v>72</v>
      </c>
      <c r="E23" s="1" t="s">
        <v>10</v>
      </c>
      <c r="F23" s="1"/>
      <c r="G23" s="1"/>
      <c r="H23" s="1"/>
    </row>
    <row r="24" spans="1:8" x14ac:dyDescent="0.3">
      <c r="A24" s="1" t="s">
        <v>73</v>
      </c>
      <c r="B24" s="1" t="s">
        <v>71</v>
      </c>
      <c r="C24" s="1">
        <v>2</v>
      </c>
      <c r="D24" s="1" t="s">
        <v>74</v>
      </c>
      <c r="E24" s="1" t="s">
        <v>10</v>
      </c>
      <c r="F24" s="1"/>
      <c r="G24" s="1"/>
      <c r="H24" s="1"/>
    </row>
    <row r="25" spans="1:8" x14ac:dyDescent="0.3">
      <c r="A25" s="1" t="s">
        <v>76</v>
      </c>
      <c r="B25" s="1" t="s">
        <v>73</v>
      </c>
      <c r="C25" s="1">
        <v>3</v>
      </c>
      <c r="D25" s="1" t="s">
        <v>93</v>
      </c>
      <c r="E25" s="1" t="s">
        <v>10</v>
      </c>
      <c r="F25" s="1"/>
      <c r="G25" s="1"/>
      <c r="H25" s="1"/>
    </row>
    <row r="26" spans="1:8" x14ac:dyDescent="0.3">
      <c r="A26" s="1" t="s">
        <v>76</v>
      </c>
      <c r="B26" s="1" t="s">
        <v>76</v>
      </c>
      <c r="C26" s="1">
        <v>4</v>
      </c>
      <c r="D26" s="1" t="s">
        <v>94</v>
      </c>
      <c r="E26" s="1" t="s">
        <v>53</v>
      </c>
      <c r="F26" s="1" t="s">
        <v>81</v>
      </c>
      <c r="G26" s="2" t="s">
        <v>75</v>
      </c>
      <c r="H26" s="1"/>
    </row>
    <row r="27" spans="1:8" x14ac:dyDescent="0.3">
      <c r="A27" s="1" t="s">
        <v>92</v>
      </c>
      <c r="B27" s="1" t="str">
        <f>+A26</f>
        <v>5.1.1.</v>
      </c>
      <c r="C27" s="1">
        <v>4</v>
      </c>
      <c r="D27" s="1" t="s">
        <v>88</v>
      </c>
      <c r="E27" s="1" t="s">
        <v>89</v>
      </c>
      <c r="F27" s="1" t="s">
        <v>90</v>
      </c>
      <c r="G27" s="2" t="s">
        <v>91</v>
      </c>
      <c r="H27" s="1"/>
    </row>
    <row r="28" spans="1:8" x14ac:dyDescent="0.3">
      <c r="A28" s="1" t="s">
        <v>96</v>
      </c>
      <c r="B28" s="1" t="s">
        <v>71</v>
      </c>
      <c r="C28" s="1">
        <v>2</v>
      </c>
      <c r="D28" s="1" t="s">
        <v>95</v>
      </c>
      <c r="E28" s="1" t="s">
        <v>10</v>
      </c>
      <c r="F28" s="1"/>
      <c r="G28" s="2"/>
      <c r="H28" s="1"/>
    </row>
    <row r="29" spans="1:8" x14ac:dyDescent="0.3">
      <c r="A29" s="1" t="s">
        <v>97</v>
      </c>
      <c r="B29" s="1" t="s">
        <v>96</v>
      </c>
      <c r="C29" s="1">
        <v>3</v>
      </c>
      <c r="D29" s="1" t="s">
        <v>78</v>
      </c>
      <c r="E29" s="1" t="s">
        <v>53</v>
      </c>
      <c r="F29" s="1" t="s">
        <v>80</v>
      </c>
      <c r="G29" s="2" t="s">
        <v>79</v>
      </c>
      <c r="H29" s="1"/>
    </row>
    <row r="30" spans="1:8" x14ac:dyDescent="0.3">
      <c r="A30" s="1" t="s">
        <v>77</v>
      </c>
      <c r="B30" s="1" t="s">
        <v>71</v>
      </c>
      <c r="C30" s="1">
        <v>2</v>
      </c>
      <c r="D30" s="1" t="s">
        <v>82</v>
      </c>
      <c r="E30" s="1" t="s">
        <v>10</v>
      </c>
      <c r="F30" s="1" t="s">
        <v>83</v>
      </c>
      <c r="G30" s="1"/>
      <c r="H30" s="1"/>
    </row>
    <row r="31" spans="1:8" x14ac:dyDescent="0.3">
      <c r="A31" s="1" t="s">
        <v>84</v>
      </c>
      <c r="B31" s="1" t="s">
        <v>77</v>
      </c>
      <c r="C31" s="1">
        <v>3</v>
      </c>
      <c r="D31" s="1" t="s">
        <v>85</v>
      </c>
      <c r="E31" s="1" t="s">
        <v>53</v>
      </c>
      <c r="F31" s="1" t="s">
        <v>86</v>
      </c>
      <c r="G31" s="2" t="s">
        <v>87</v>
      </c>
      <c r="H31" s="1"/>
    </row>
  </sheetData>
  <hyperlinks>
    <hyperlink ref="G5" r:id="rId1" xr:uid="{28DFFF1F-6CFB-452B-9E12-7A5A55C55747}"/>
    <hyperlink ref="G9" r:id="rId2" xr:uid="{0BEA8249-A74A-49EA-8EC8-96F5029FC733}"/>
    <hyperlink ref="G7" r:id="rId3" xr:uid="{69B2A7D3-90B8-4A1C-BF30-866D63FDCE26}"/>
    <hyperlink ref="G15" r:id="rId4" xr:uid="{6C869BAB-40B9-46FB-B35A-559A43244661}"/>
    <hyperlink ref="G18" r:id="rId5" xr:uid="{53567C18-720D-4540-B295-7A729C68A9AD}"/>
    <hyperlink ref="G19" r:id="rId6" display="https://console.cloud.google.com/bigquery?project=modelomarval&amp;ws=!1m17!1m6!12m5!1m3!1smodelomarval!2sus-central1!3sd30be79c-ad20-41eb-8952-d95e9152ecc9!2e1!1m4!4m3!1smodelomarval!2sproyectos!3sproyectos!1m4!1m3!1smodelomarval!2sbquxjob_4c0ba819_19b09adb8ee!3sus-east1" xr:uid="{8B51FB56-7934-452E-8F3B-528F5B2C6E20}"/>
    <hyperlink ref="G20" r:id="rId7" xr:uid="{918B8973-51E3-4606-AB5E-8F499095DD6C}"/>
    <hyperlink ref="G22" r:id="rId8" xr:uid="{49F1E364-2552-4FF7-8D9A-5827E001F395}"/>
    <hyperlink ref="G26" r:id="rId9" xr:uid="{B578872E-8236-43FA-9CE4-9AE1A40E3B21}"/>
    <hyperlink ref="G31" r:id="rId10" xr:uid="{145CF4BB-4686-4A38-B24B-38ECF168AF5B}"/>
    <hyperlink ref="G27" r:id="rId11" xr:uid="{F443384C-04A7-4A61-A6B3-A93D2240BD1E}"/>
    <hyperlink ref="G29" r:id="rId12" location="scrollTo=3ZOFGD83yd0f" xr:uid="{8CF49A2B-6BB3-4D84-BBE2-7E2256611071}"/>
  </hyperlinks>
  <pageMargins left="0.7" right="0.7" top="0.75" bottom="0.75" header="0.3" footer="0.3"/>
  <tableParts count="1"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95551CE081140AE9F3A39C79FCCBD" ma:contentTypeVersion="19" ma:contentTypeDescription="Crear nuevo documento." ma:contentTypeScope="" ma:versionID="d1ee42ddbbb6d7cc2b18ad925fc7bcf3">
  <xsd:schema xmlns:xsd="http://www.w3.org/2001/XMLSchema" xmlns:xs="http://www.w3.org/2001/XMLSchema" xmlns:p="http://schemas.microsoft.com/office/2006/metadata/properties" xmlns:ns2="2e1d9d2d-8e8e-4bf8-9aea-2533573f0f7c" xmlns:ns3="98ef58cf-375e-4e6b-8b8c-d3296d60f80a" targetNamespace="http://schemas.microsoft.com/office/2006/metadata/properties" ma:root="true" ma:fieldsID="4f2f43c6d7a3a8b75d8e99a23581904c" ns2:_="" ns3:_="">
    <xsd:import namespace="2e1d9d2d-8e8e-4bf8-9aea-2533573f0f7c"/>
    <xsd:import namespace="98ef58cf-375e-4e6b-8b8c-d3296d60f8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d9d2d-8e8e-4bf8-9aea-2533573f0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fb8c78eb-ebef-4413-842f-7ac59866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ef58cf-375e-4e6b-8b8c-d3296d60f80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8dbfbe9-9083-4def-ae69-f7b207d082e2}" ma:internalName="TaxCatchAll" ma:showField="CatchAllData" ma:web="98ef58cf-375e-4e6b-8b8c-d3296d60f8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ef58cf-375e-4e6b-8b8c-d3296d60f80a" xsi:nil="true"/>
    <lcf76f155ced4ddcb4097134ff3c332f xmlns="2e1d9d2d-8e8e-4bf8-9aea-2533573f0f7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EFAC384-35CE-4C5A-A492-8D680476F4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39321F-A7FA-441B-84C0-F882E46444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1d9d2d-8e8e-4bf8-9aea-2533573f0f7c"/>
    <ds:schemaRef ds:uri="98ef58cf-375e-4e6b-8b8c-d3296d60f8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75ACB0-218C-4253-AC96-FD91EE9B46D6}">
  <ds:schemaRefs>
    <ds:schemaRef ds:uri="http://schemas.microsoft.com/office/2006/metadata/properties"/>
    <ds:schemaRef ds:uri="http://schemas.microsoft.com/office/infopath/2007/PartnerControls"/>
    <ds:schemaRef ds:uri="98ef58cf-375e-4e6b-8b8c-d3296d60f80a"/>
    <ds:schemaRef ds:uri="2e1d9d2d-8e8e-4bf8-9aea-2533573f0f7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Camilo Andres Pulgarin Bautista</dc:creator>
  <cp:keywords/>
  <dc:description/>
  <cp:lastModifiedBy>Camilo Andres Pulgarin Bautista</cp:lastModifiedBy>
  <cp:revision/>
  <dcterms:created xsi:type="dcterms:W3CDTF">2025-11-05T14:14:05Z</dcterms:created>
  <dcterms:modified xsi:type="dcterms:W3CDTF">2025-12-18T16:55:32Z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0x0101000FF95551CE081140AE9F3A39C79FCCBD</vt:lpwstr>
  </property>
  <property fmtid="{D5CDD505-2E9C-101B-9397-08002B2CF9AE}" pid="3" name="MediaServiceImageTags">
    <vt:lpwstr/>
  </property>
</Properties>
</file>